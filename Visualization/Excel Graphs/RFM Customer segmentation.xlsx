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9_{57F14B50-FB64-4A0F-A824-2B93B8F9003F}" xr6:coauthVersionLast="47" xr6:coauthVersionMax="47" xr10:uidLastSave="{00000000-0000-0000-0000-000000000000}"/>
  <bookViews>
    <workbookView xWindow="-120" yWindow="-120" windowWidth="29040" windowHeight="15720" xr2:uid="{A565380D-1DF6-4B48-920D-AD734785C8A1}"/>
  </bookViews>
  <sheets>
    <sheet name="RFM Customer segmentation" sheetId="1" r:id="rId1"/>
  </sheets>
  <calcPr calcId="0"/>
  <pivotCaches>
    <pivotCache cacheId="8" r:id="rId2"/>
  </pivotCaches>
</workbook>
</file>

<file path=xl/sharedStrings.xml><?xml version="1.0" encoding="utf-8"?>
<sst xmlns="http://schemas.openxmlformats.org/spreadsheetml/2006/main" count="94" uniqueCount="54">
  <si>
    <t>CustomerID</t>
  </si>
  <si>
    <t>CompanyName</t>
  </si>
  <si>
    <t>RecencyDays</t>
  </si>
  <si>
    <t>Frequency</t>
  </si>
  <si>
    <t>Monetary</t>
  </si>
  <si>
    <t>R_score</t>
  </si>
  <si>
    <t>F_score</t>
  </si>
  <si>
    <t>M_score</t>
  </si>
  <si>
    <t>Segment</t>
  </si>
  <si>
    <t>QUICK</t>
  </si>
  <si>
    <t>QUICK-Stop</t>
  </si>
  <si>
    <t>Loyal</t>
  </si>
  <si>
    <t>HANAR</t>
  </si>
  <si>
    <t>Hanari Carnes</t>
  </si>
  <si>
    <t>RATTC</t>
  </si>
  <si>
    <t>Rattlesnake Canyon Grocery</t>
  </si>
  <si>
    <t>GREAL</t>
  </si>
  <si>
    <t>Great Lakes Food Market</t>
  </si>
  <si>
    <t>SIMOB</t>
  </si>
  <si>
    <t>Simons bistro</t>
  </si>
  <si>
    <t>At Risk</t>
  </si>
  <si>
    <t>PICCO</t>
  </si>
  <si>
    <t>Piccolo und mehr</t>
  </si>
  <si>
    <t>MEREP</t>
  </si>
  <si>
    <t>Mre Paillarde</t>
  </si>
  <si>
    <t>QUEEN</t>
  </si>
  <si>
    <t>Queen Cozinha</t>
  </si>
  <si>
    <t>KOENE</t>
  </si>
  <si>
    <t>Kniglich Essen</t>
  </si>
  <si>
    <t>New Customer</t>
  </si>
  <si>
    <t>WHITC</t>
  </si>
  <si>
    <t>White Clover Markets</t>
  </si>
  <si>
    <t>ERNSH</t>
  </si>
  <si>
    <t>Ernst Handel</t>
  </si>
  <si>
    <t>SPLIR</t>
  </si>
  <si>
    <t>Split Rail Beer &amp; Ale</t>
  </si>
  <si>
    <t>BERGS</t>
  </si>
  <si>
    <t>Berglunds snabbkp</t>
  </si>
  <si>
    <t>TORTU</t>
  </si>
  <si>
    <t>Tortuga Restaurante</t>
  </si>
  <si>
    <t>THEBI</t>
  </si>
  <si>
    <t>The Big Cheese</t>
  </si>
  <si>
    <t>SANTG</t>
  </si>
  <si>
    <t>Sant Gourmet</t>
  </si>
  <si>
    <t>BLONP</t>
  </si>
  <si>
    <t>Blondesddsl pre et fils</t>
  </si>
  <si>
    <t>SPECD</t>
  </si>
  <si>
    <t>Spcialits du monde</t>
  </si>
  <si>
    <t>RANCH</t>
  </si>
  <si>
    <t>Rancho grande</t>
  </si>
  <si>
    <t>Row Labels</t>
  </si>
  <si>
    <t>Grand Total</t>
  </si>
  <si>
    <t>Count of CompanyName</t>
  </si>
  <si>
    <t>Sum of 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</si>
</sst>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Customer segmentation.xlsx]RFM Customer segmentation!PivotTable2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Customer</a:t>
            </a:r>
            <a:r>
              <a:rPr lang="en-US" baseline="0"/>
              <a:t>s per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'RFM Customer segmentation'!$B$24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Customer segmentation'!$A$25:$A$28</c:f>
              <c:strCache>
                <c:ptCount val="3"/>
                <c:pt idx="0">
                  <c:v>At Risk</c:v>
                </c:pt>
                <c:pt idx="1">
                  <c:v>Loyal</c:v>
                </c:pt>
                <c:pt idx="2">
                  <c:v>New Customer</c:v>
                </c:pt>
              </c:strCache>
            </c:strRef>
          </c:cat>
          <c:val>
            <c:numRef>
              <c:f>'RFM Customer segmentation'!$B$25:$B$28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3-4382-AD2D-FD31A93FF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496175"/>
        <c:axId val="874491375"/>
      </c:barChart>
      <c:catAx>
        <c:axId val="87449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Segmenntation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74491375"/>
        <c:crosses val="autoZero"/>
        <c:auto val="1"/>
        <c:lblAlgn val="ctr"/>
        <c:lblOffset val="100"/>
        <c:noMultiLvlLbl val="0"/>
      </c:catAx>
      <c:valAx>
        <c:axId val="87449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7449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[RFM Customer segmentation.xlsx]RFM Customer segmentation!PivotTable3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Contribution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'RFM Customer segmentation'!$B$40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 Customer segmentation'!$A$41:$A$60</c:f>
              <c:strCache>
                <c:ptCount val="19"/>
                <c:pt idx="0">
                  <c:v>Berglunds snabbkp</c:v>
                </c:pt>
                <c:pt idx="1">
                  <c:v>Blondesddsl pre et fils</c:v>
                </c:pt>
                <c:pt idx="2">
                  <c:v>Ernst Handel</c:v>
                </c:pt>
                <c:pt idx="3">
                  <c:v>Great Lakes Food Market</c:v>
                </c:pt>
                <c:pt idx="4">
                  <c:v>Hanari Carnes</c:v>
                </c:pt>
                <c:pt idx="5">
                  <c:v>Kniglich Essen</c:v>
                </c:pt>
                <c:pt idx="6">
                  <c:v>Mre Paillarde</c:v>
                </c:pt>
                <c:pt idx="7">
                  <c:v>Piccolo und mehr</c:v>
                </c:pt>
                <c:pt idx="8">
                  <c:v>Queen Cozinha</c:v>
                </c:pt>
                <c:pt idx="9">
                  <c:v>QUICK-Stop</c:v>
                </c:pt>
                <c:pt idx="10">
                  <c:v>Rancho grande</c:v>
                </c:pt>
                <c:pt idx="11">
                  <c:v>Rattlesnake Canyon Grocery</c:v>
                </c:pt>
                <c:pt idx="12">
                  <c:v>Sant Gourmet</c:v>
                </c:pt>
                <c:pt idx="13">
                  <c:v>Simons bistro</c:v>
                </c:pt>
                <c:pt idx="14">
                  <c:v>Spcialits du monde</c:v>
                </c:pt>
                <c:pt idx="15">
                  <c:v>Split Rail Beer &amp; Ale</c:v>
                </c:pt>
                <c:pt idx="16">
                  <c:v>The Big Cheese</c:v>
                </c:pt>
                <c:pt idx="17">
                  <c:v>Tortuga Restaurante</c:v>
                </c:pt>
                <c:pt idx="18">
                  <c:v>White Clover Markets</c:v>
                </c:pt>
              </c:strCache>
            </c:strRef>
          </c:cat>
          <c:val>
            <c:numRef>
              <c:f>'RFM Customer segmentation'!$B$41:$B$60</c:f>
              <c:numCache>
                <c:formatCode>General</c:formatCode>
                <c:ptCount val="19"/>
                <c:pt idx="0">
                  <c:v>3952.5</c:v>
                </c:pt>
                <c:pt idx="1">
                  <c:v>2108</c:v>
                </c:pt>
                <c:pt idx="2">
                  <c:v>4216</c:v>
                </c:pt>
                <c:pt idx="3">
                  <c:v>11857.5</c:v>
                </c:pt>
                <c:pt idx="4">
                  <c:v>18181.5</c:v>
                </c:pt>
                <c:pt idx="5">
                  <c:v>7905</c:v>
                </c:pt>
                <c:pt idx="6">
                  <c:v>10329.200000000001</c:v>
                </c:pt>
                <c:pt idx="7">
                  <c:v>10540</c:v>
                </c:pt>
                <c:pt idx="8">
                  <c:v>8432</c:v>
                </c:pt>
                <c:pt idx="9">
                  <c:v>23715</c:v>
                </c:pt>
                <c:pt idx="10">
                  <c:v>527</c:v>
                </c:pt>
                <c:pt idx="11">
                  <c:v>16864</c:v>
                </c:pt>
                <c:pt idx="12">
                  <c:v>2108</c:v>
                </c:pt>
                <c:pt idx="13">
                  <c:v>10540</c:v>
                </c:pt>
                <c:pt idx="14">
                  <c:v>1317.5</c:v>
                </c:pt>
                <c:pt idx="15">
                  <c:v>4216</c:v>
                </c:pt>
                <c:pt idx="16">
                  <c:v>2635</c:v>
                </c:pt>
                <c:pt idx="17">
                  <c:v>3952.5</c:v>
                </c:pt>
                <c:pt idx="18">
                  <c:v>6587.5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7-400D-A6C1-636BCBB2A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693391"/>
        <c:axId val="1295688591"/>
      </c:barChart>
      <c:catAx>
        <c:axId val="1295693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Company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95688591"/>
        <c:crosses val="autoZero"/>
        <c:auto val="1"/>
        <c:lblAlgn val="ctr"/>
        <c:lblOffset val="100"/>
        <c:noMultiLvlLbl val="0"/>
      </c:catAx>
      <c:valAx>
        <c:axId val="129568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956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22</xdr:row>
      <xdr:rowOff>4762</xdr:rowOff>
    </xdr:from>
    <xdr:to>
      <xdr:col>10</xdr:col>
      <xdr:colOff>152400</xdr:colOff>
      <xdr:row>36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07E93-FB2C-8D90-291E-BEB308CF0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39</xdr:row>
      <xdr:rowOff>90487</xdr:rowOff>
    </xdr:from>
    <xdr:to>
      <xdr:col>14</xdr:col>
      <xdr:colOff>19050</xdr:colOff>
      <xdr:row>55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25AFA3-F301-4D89-3686-EDC4CFB3F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2.70265590278" createdVersion="8" refreshedVersion="8" minRefreshableVersion="3" recordCount="19" xr:uid="{6FC000DB-15F5-4FCF-B5E4-B127D3AAD802}">
  <cacheSource type="worksheet">
    <worksheetSource ref="A1:I20" sheet="RFM Customer segmentation"/>
  </cacheSource>
  <cacheFields count="9">
    <cacheField name="CustomerID" numFmtId="0">
      <sharedItems/>
    </cacheField>
    <cacheField name="CompanyName" numFmtId="0">
      <sharedItems count="19">
        <s v="QUICK-Stop"/>
        <s v="Hanari Carnes"/>
        <s v="Rattlesnake Canyon Grocery"/>
        <s v="Great Lakes Food Market"/>
        <s v="Simons bistro"/>
        <s v="Piccolo und mehr"/>
        <s v="Mre Paillarde"/>
        <s v="Queen Cozinha"/>
        <s v="Kniglich Essen"/>
        <s v="White Clover Markets"/>
        <s v="Ernst Handel"/>
        <s v="Split Rail Beer &amp; Ale"/>
        <s v="Berglunds snabbkp"/>
        <s v="Tortuga Restaurante"/>
        <s v="The Big Cheese"/>
        <s v="Sant Gourmet"/>
        <s v="Blondesddsl pre et fils"/>
        <s v="Spcialits du monde"/>
        <s v="Rancho grande"/>
      </sharedItems>
    </cacheField>
    <cacheField name="RecencyDays" numFmtId="0">
      <sharedItems containsSemiMixedTypes="0" containsString="0" containsNumber="1" containsInteger="1" minValue="10020" maxValue="10569"/>
    </cacheField>
    <cacheField name="Frequency" numFmtId="0">
      <sharedItems containsSemiMixedTypes="0" containsString="0" containsNumber="1" containsInteger="1" minValue="1" maxValue="3"/>
    </cacheField>
    <cacheField name="Monetary" numFmtId="0">
      <sharedItems containsSemiMixedTypes="0" containsString="0" containsNumber="1" minValue="527" maxValue="23715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Segment" numFmtId="0">
      <sharedItems count="3">
        <s v="Loyal"/>
        <s v="At Risk"/>
        <s v="New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QUICK"/>
    <x v="0"/>
    <n v="10094"/>
    <n v="2"/>
    <n v="23715"/>
    <n v="2"/>
    <n v="1"/>
    <n v="1"/>
    <x v="0"/>
  </r>
  <r>
    <s v="HANAR"/>
    <x v="1"/>
    <n v="10041"/>
    <n v="3"/>
    <n v="18181.5"/>
    <n v="1"/>
    <n v="1"/>
    <n v="1"/>
    <x v="0"/>
  </r>
  <r>
    <s v="RATTC"/>
    <x v="2"/>
    <n v="10080"/>
    <n v="2"/>
    <n v="16864"/>
    <n v="1"/>
    <n v="1"/>
    <n v="1"/>
    <x v="0"/>
  </r>
  <r>
    <s v="GREAL"/>
    <x v="3"/>
    <n v="10121"/>
    <n v="2"/>
    <n v="11857.5"/>
    <n v="2"/>
    <n v="1"/>
    <n v="1"/>
    <x v="0"/>
  </r>
  <r>
    <s v="SIMOB"/>
    <x v="4"/>
    <n v="10476"/>
    <n v="1"/>
    <n v="10540"/>
    <n v="4"/>
    <n v="4"/>
    <n v="2"/>
    <x v="1"/>
  </r>
  <r>
    <s v="PICCO"/>
    <x v="5"/>
    <n v="10540"/>
    <n v="1"/>
    <n v="10540"/>
    <n v="5"/>
    <n v="5"/>
    <n v="2"/>
    <x v="1"/>
  </r>
  <r>
    <s v="MEREP"/>
    <x v="6"/>
    <n v="10469"/>
    <n v="1"/>
    <n v="10329.200000000001"/>
    <n v="4"/>
    <n v="4"/>
    <n v="2"/>
    <x v="1"/>
  </r>
  <r>
    <s v="QUEEN"/>
    <x v="7"/>
    <n v="10519"/>
    <n v="1"/>
    <n v="8432"/>
    <n v="4"/>
    <n v="4"/>
    <n v="2"/>
    <x v="1"/>
  </r>
  <r>
    <s v="KOENE"/>
    <x v="8"/>
    <n v="10121"/>
    <n v="1"/>
    <n v="7905"/>
    <n v="3"/>
    <n v="3"/>
    <n v="3"/>
    <x v="2"/>
  </r>
  <r>
    <s v="WHITC"/>
    <x v="9"/>
    <n v="10020"/>
    <n v="1"/>
    <n v="6587.5"/>
    <n v="1"/>
    <n v="2"/>
    <n v="3"/>
    <x v="2"/>
  </r>
  <r>
    <s v="ERNSH"/>
    <x v="10"/>
    <n v="10542"/>
    <n v="1"/>
    <n v="4216"/>
    <n v="5"/>
    <n v="5"/>
    <n v="3"/>
    <x v="1"/>
  </r>
  <r>
    <s v="SPLIR"/>
    <x v="11"/>
    <n v="10569"/>
    <n v="1"/>
    <n v="4216"/>
    <n v="5"/>
    <n v="5"/>
    <n v="3"/>
    <x v="1"/>
  </r>
  <r>
    <s v="BERGS"/>
    <x v="12"/>
    <n v="10232"/>
    <n v="1"/>
    <n v="3952.5"/>
    <n v="3"/>
    <n v="3"/>
    <n v="4"/>
    <x v="2"/>
  </r>
  <r>
    <s v="TORTU"/>
    <x v="13"/>
    <n v="10377"/>
    <n v="1"/>
    <n v="3952.5"/>
    <n v="3"/>
    <n v="3"/>
    <n v="4"/>
    <x v="2"/>
  </r>
  <r>
    <s v="THEBI"/>
    <x v="14"/>
    <n v="10128"/>
    <n v="1"/>
    <n v="2635"/>
    <n v="3"/>
    <n v="3"/>
    <n v="4"/>
    <x v="2"/>
  </r>
  <r>
    <s v="SANTG"/>
    <x v="15"/>
    <n v="10113"/>
    <n v="1"/>
    <n v="2108"/>
    <n v="2"/>
    <n v="2"/>
    <n v="4"/>
    <x v="2"/>
  </r>
  <r>
    <s v="BLONP"/>
    <x v="16"/>
    <n v="10531"/>
    <n v="1"/>
    <n v="2108"/>
    <n v="4"/>
    <n v="4"/>
    <n v="5"/>
    <x v="1"/>
  </r>
  <r>
    <s v="SPECD"/>
    <x v="17"/>
    <n v="10048"/>
    <n v="1"/>
    <n v="1317.5"/>
    <n v="1"/>
    <n v="2"/>
    <n v="5"/>
    <x v="2"/>
  </r>
  <r>
    <s v="RANCH"/>
    <x v="18"/>
    <n v="10114"/>
    <n v="1"/>
    <n v="527"/>
    <n v="2"/>
    <n v="2"/>
    <n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D9F9C-A02E-4239-BF40-CB3DEF6C0AED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0:B60" firstHeaderRow="1" firstDataRow="1" firstDataCol="1"/>
  <pivotFields count="9">
    <pivotField showAll="0"/>
    <pivotField axis="axisRow" showAll="0">
      <items count="20">
        <item x="12"/>
        <item x="16"/>
        <item x="10"/>
        <item x="3"/>
        <item x="1"/>
        <item x="8"/>
        <item x="6"/>
        <item x="5"/>
        <item x="7"/>
        <item x="0"/>
        <item x="18"/>
        <item x="2"/>
        <item x="15"/>
        <item x="4"/>
        <item x="17"/>
        <item x="11"/>
        <item x="14"/>
        <item x="13"/>
        <item x="9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Monetary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6F252-8B79-44F5-BE75-09498FD4EC1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:B28" firstHeaderRow="1" firstDataRow="1" firstDataCol="1"/>
  <pivotFields count="9">
    <pivotField showAll="0"/>
    <pivotField dataField="1" showAll="0">
      <items count="20">
        <item x="12"/>
        <item x="16"/>
        <item x="10"/>
        <item x="3"/>
        <item x="1"/>
        <item x="8"/>
        <item x="6"/>
        <item x="5"/>
        <item x="7"/>
        <item x="0"/>
        <item x="18"/>
        <item x="2"/>
        <item x="15"/>
        <item x="4"/>
        <item x="17"/>
        <item x="11"/>
        <item x="14"/>
        <item x="1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mpany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B0BF-9070-4F13-9A26-77AA10400BD5}">
  <dimension ref="A1:I60"/>
  <sheetViews>
    <sheetView tabSelected="1" topLeftCell="A28" workbookViewId="0">
      <selection activeCell="L35" sqref="L35"/>
    </sheetView>
  </sheetViews>
  <sheetFormatPr defaultRowHeight="15" x14ac:dyDescent="0.25"/>
  <cols>
    <col min="1" max="1" width="26" bestFit="1" customWidth="1"/>
    <col min="2" max="2" width="1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10094</v>
      </c>
      <c r="D2">
        <v>2</v>
      </c>
      <c r="E2">
        <v>23715</v>
      </c>
      <c r="F2">
        <v>2</v>
      </c>
      <c r="G2">
        <v>1</v>
      </c>
      <c r="H2">
        <v>1</v>
      </c>
      <c r="I2" t="s">
        <v>11</v>
      </c>
    </row>
    <row r="3" spans="1:9" x14ac:dyDescent="0.25">
      <c r="A3" t="s">
        <v>12</v>
      </c>
      <c r="B3" t="s">
        <v>13</v>
      </c>
      <c r="C3">
        <v>10041</v>
      </c>
      <c r="D3">
        <v>3</v>
      </c>
      <c r="E3">
        <v>18181.5</v>
      </c>
      <c r="F3">
        <v>1</v>
      </c>
      <c r="G3">
        <v>1</v>
      </c>
      <c r="H3">
        <v>1</v>
      </c>
      <c r="I3" t="s">
        <v>11</v>
      </c>
    </row>
    <row r="4" spans="1:9" x14ac:dyDescent="0.25">
      <c r="A4" t="s">
        <v>14</v>
      </c>
      <c r="B4" t="s">
        <v>15</v>
      </c>
      <c r="C4">
        <v>10080</v>
      </c>
      <c r="D4">
        <v>2</v>
      </c>
      <c r="E4">
        <v>16864</v>
      </c>
      <c r="F4">
        <v>1</v>
      </c>
      <c r="G4">
        <v>1</v>
      </c>
      <c r="H4">
        <v>1</v>
      </c>
      <c r="I4" t="s">
        <v>11</v>
      </c>
    </row>
    <row r="5" spans="1:9" x14ac:dyDescent="0.25">
      <c r="A5" t="s">
        <v>16</v>
      </c>
      <c r="B5" t="s">
        <v>17</v>
      </c>
      <c r="C5">
        <v>10121</v>
      </c>
      <c r="D5">
        <v>2</v>
      </c>
      <c r="E5">
        <v>11857.5</v>
      </c>
      <c r="F5">
        <v>2</v>
      </c>
      <c r="G5">
        <v>1</v>
      </c>
      <c r="H5">
        <v>1</v>
      </c>
      <c r="I5" t="s">
        <v>11</v>
      </c>
    </row>
    <row r="6" spans="1:9" x14ac:dyDescent="0.25">
      <c r="A6" t="s">
        <v>18</v>
      </c>
      <c r="B6" t="s">
        <v>19</v>
      </c>
      <c r="C6">
        <v>10476</v>
      </c>
      <c r="D6">
        <v>1</v>
      </c>
      <c r="E6">
        <v>10540</v>
      </c>
      <c r="F6">
        <v>4</v>
      </c>
      <c r="G6">
        <v>4</v>
      </c>
      <c r="H6">
        <v>2</v>
      </c>
      <c r="I6" t="s">
        <v>20</v>
      </c>
    </row>
    <row r="7" spans="1:9" x14ac:dyDescent="0.25">
      <c r="A7" t="s">
        <v>21</v>
      </c>
      <c r="B7" t="s">
        <v>22</v>
      </c>
      <c r="C7">
        <v>10540</v>
      </c>
      <c r="D7">
        <v>1</v>
      </c>
      <c r="E7">
        <v>10540</v>
      </c>
      <c r="F7">
        <v>5</v>
      </c>
      <c r="G7">
        <v>5</v>
      </c>
      <c r="H7">
        <v>2</v>
      </c>
      <c r="I7" t="s">
        <v>20</v>
      </c>
    </row>
    <row r="8" spans="1:9" x14ac:dyDescent="0.25">
      <c r="A8" t="s">
        <v>23</v>
      </c>
      <c r="B8" t="s">
        <v>24</v>
      </c>
      <c r="C8">
        <v>10469</v>
      </c>
      <c r="D8">
        <v>1</v>
      </c>
      <c r="E8">
        <v>10329.200000000001</v>
      </c>
      <c r="F8">
        <v>4</v>
      </c>
      <c r="G8">
        <v>4</v>
      </c>
      <c r="H8">
        <v>2</v>
      </c>
      <c r="I8" t="s">
        <v>20</v>
      </c>
    </row>
    <row r="9" spans="1:9" x14ac:dyDescent="0.25">
      <c r="A9" t="s">
        <v>25</v>
      </c>
      <c r="B9" t="s">
        <v>26</v>
      </c>
      <c r="C9">
        <v>10519</v>
      </c>
      <c r="D9">
        <v>1</v>
      </c>
      <c r="E9">
        <v>8432</v>
      </c>
      <c r="F9">
        <v>4</v>
      </c>
      <c r="G9">
        <v>4</v>
      </c>
      <c r="H9">
        <v>2</v>
      </c>
      <c r="I9" t="s">
        <v>20</v>
      </c>
    </row>
    <row r="10" spans="1:9" x14ac:dyDescent="0.25">
      <c r="A10" t="s">
        <v>27</v>
      </c>
      <c r="B10" t="s">
        <v>28</v>
      </c>
      <c r="C10">
        <v>10121</v>
      </c>
      <c r="D10">
        <v>1</v>
      </c>
      <c r="E10">
        <v>7905</v>
      </c>
      <c r="F10">
        <v>3</v>
      </c>
      <c r="G10">
        <v>3</v>
      </c>
      <c r="H10">
        <v>3</v>
      </c>
      <c r="I10" t="s">
        <v>29</v>
      </c>
    </row>
    <row r="11" spans="1:9" x14ac:dyDescent="0.25">
      <c r="A11" t="s">
        <v>30</v>
      </c>
      <c r="B11" t="s">
        <v>31</v>
      </c>
      <c r="C11">
        <v>10020</v>
      </c>
      <c r="D11">
        <v>1</v>
      </c>
      <c r="E11">
        <v>6587.5</v>
      </c>
      <c r="F11">
        <v>1</v>
      </c>
      <c r="G11">
        <v>2</v>
      </c>
      <c r="H11">
        <v>3</v>
      </c>
      <c r="I11" t="s">
        <v>29</v>
      </c>
    </row>
    <row r="12" spans="1:9" x14ac:dyDescent="0.25">
      <c r="A12" t="s">
        <v>32</v>
      </c>
      <c r="B12" t="s">
        <v>33</v>
      </c>
      <c r="C12">
        <v>10542</v>
      </c>
      <c r="D12">
        <v>1</v>
      </c>
      <c r="E12">
        <v>4216</v>
      </c>
      <c r="F12">
        <v>5</v>
      </c>
      <c r="G12">
        <v>5</v>
      </c>
      <c r="H12">
        <v>3</v>
      </c>
      <c r="I12" t="s">
        <v>20</v>
      </c>
    </row>
    <row r="13" spans="1:9" x14ac:dyDescent="0.25">
      <c r="A13" t="s">
        <v>34</v>
      </c>
      <c r="B13" t="s">
        <v>35</v>
      </c>
      <c r="C13">
        <v>10569</v>
      </c>
      <c r="D13">
        <v>1</v>
      </c>
      <c r="E13">
        <v>4216</v>
      </c>
      <c r="F13">
        <v>5</v>
      </c>
      <c r="G13">
        <v>5</v>
      </c>
      <c r="H13">
        <v>3</v>
      </c>
      <c r="I13" t="s">
        <v>20</v>
      </c>
    </row>
    <row r="14" spans="1:9" x14ac:dyDescent="0.25">
      <c r="A14" t="s">
        <v>36</v>
      </c>
      <c r="B14" t="s">
        <v>37</v>
      </c>
      <c r="C14">
        <v>10232</v>
      </c>
      <c r="D14">
        <v>1</v>
      </c>
      <c r="E14">
        <v>3952.5</v>
      </c>
      <c r="F14">
        <v>3</v>
      </c>
      <c r="G14">
        <v>3</v>
      </c>
      <c r="H14">
        <v>4</v>
      </c>
      <c r="I14" t="s">
        <v>29</v>
      </c>
    </row>
    <row r="15" spans="1:9" x14ac:dyDescent="0.25">
      <c r="A15" t="s">
        <v>38</v>
      </c>
      <c r="B15" t="s">
        <v>39</v>
      </c>
      <c r="C15">
        <v>10377</v>
      </c>
      <c r="D15">
        <v>1</v>
      </c>
      <c r="E15">
        <v>3952.5</v>
      </c>
      <c r="F15">
        <v>3</v>
      </c>
      <c r="G15">
        <v>3</v>
      </c>
      <c r="H15">
        <v>4</v>
      </c>
      <c r="I15" t="s">
        <v>29</v>
      </c>
    </row>
    <row r="16" spans="1:9" x14ac:dyDescent="0.25">
      <c r="A16" t="s">
        <v>40</v>
      </c>
      <c r="B16" t="s">
        <v>41</v>
      </c>
      <c r="C16">
        <v>10128</v>
      </c>
      <c r="D16">
        <v>1</v>
      </c>
      <c r="E16">
        <v>2635</v>
      </c>
      <c r="F16">
        <v>3</v>
      </c>
      <c r="G16">
        <v>3</v>
      </c>
      <c r="H16">
        <v>4</v>
      </c>
      <c r="I16" t="s">
        <v>29</v>
      </c>
    </row>
    <row r="17" spans="1:9" x14ac:dyDescent="0.25">
      <c r="A17" t="s">
        <v>42</v>
      </c>
      <c r="B17" t="s">
        <v>43</v>
      </c>
      <c r="C17">
        <v>10113</v>
      </c>
      <c r="D17">
        <v>1</v>
      </c>
      <c r="E17">
        <v>2108</v>
      </c>
      <c r="F17">
        <v>2</v>
      </c>
      <c r="G17">
        <v>2</v>
      </c>
      <c r="H17">
        <v>4</v>
      </c>
      <c r="I17" t="s">
        <v>29</v>
      </c>
    </row>
    <row r="18" spans="1:9" x14ac:dyDescent="0.25">
      <c r="A18" t="s">
        <v>44</v>
      </c>
      <c r="B18" t="s">
        <v>45</v>
      </c>
      <c r="C18">
        <v>10531</v>
      </c>
      <c r="D18">
        <v>1</v>
      </c>
      <c r="E18">
        <v>2108</v>
      </c>
      <c r="F18">
        <v>4</v>
      </c>
      <c r="G18">
        <v>4</v>
      </c>
      <c r="H18">
        <v>5</v>
      </c>
      <c r="I18" t="s">
        <v>20</v>
      </c>
    </row>
    <row r="19" spans="1:9" x14ac:dyDescent="0.25">
      <c r="A19" t="s">
        <v>46</v>
      </c>
      <c r="B19" t="s">
        <v>47</v>
      </c>
      <c r="C19">
        <v>10048</v>
      </c>
      <c r="D19">
        <v>1</v>
      </c>
      <c r="E19">
        <v>1317.5</v>
      </c>
      <c r="F19">
        <v>1</v>
      </c>
      <c r="G19">
        <v>2</v>
      </c>
      <c r="H19">
        <v>5</v>
      </c>
      <c r="I19" t="s">
        <v>29</v>
      </c>
    </row>
    <row r="20" spans="1:9" x14ac:dyDescent="0.25">
      <c r="A20" t="s">
        <v>48</v>
      </c>
      <c r="B20" t="s">
        <v>49</v>
      </c>
      <c r="C20">
        <v>10114</v>
      </c>
      <c r="D20">
        <v>1</v>
      </c>
      <c r="E20">
        <v>527</v>
      </c>
      <c r="F20">
        <v>2</v>
      </c>
      <c r="G20">
        <v>2</v>
      </c>
      <c r="H20">
        <v>5</v>
      </c>
      <c r="I20" t="s">
        <v>29</v>
      </c>
    </row>
    <row r="24" spans="1:9" x14ac:dyDescent="0.25">
      <c r="A24" s="1" t="s">
        <v>50</v>
      </c>
      <c r="B24" t="s">
        <v>52</v>
      </c>
    </row>
    <row r="25" spans="1:9" x14ac:dyDescent="0.25">
      <c r="A25" s="2" t="s">
        <v>20</v>
      </c>
      <c r="B25" s="3">
        <v>7</v>
      </c>
    </row>
    <row r="26" spans="1:9" x14ac:dyDescent="0.25">
      <c r="A26" s="2" t="s">
        <v>11</v>
      </c>
      <c r="B26" s="3">
        <v>4</v>
      </c>
    </row>
    <row r="27" spans="1:9" x14ac:dyDescent="0.25">
      <c r="A27" s="2" t="s">
        <v>29</v>
      </c>
      <c r="B27" s="3">
        <v>8</v>
      </c>
    </row>
    <row r="28" spans="1:9" x14ac:dyDescent="0.25">
      <c r="A28" s="2" t="s">
        <v>51</v>
      </c>
      <c r="B28" s="3">
        <v>19</v>
      </c>
    </row>
    <row r="40" spans="1:2" x14ac:dyDescent="0.25">
      <c r="A40" s="1" t="s">
        <v>50</v>
      </c>
      <c r="B40" t="s">
        <v>53</v>
      </c>
    </row>
    <row r="41" spans="1:2" x14ac:dyDescent="0.25">
      <c r="A41" s="2" t="s">
        <v>37</v>
      </c>
      <c r="B41" s="3">
        <v>3952.5</v>
      </c>
    </row>
    <row r="42" spans="1:2" x14ac:dyDescent="0.25">
      <c r="A42" s="2" t="s">
        <v>45</v>
      </c>
      <c r="B42" s="3">
        <v>2108</v>
      </c>
    </row>
    <row r="43" spans="1:2" x14ac:dyDescent="0.25">
      <c r="A43" s="2" t="s">
        <v>33</v>
      </c>
      <c r="B43" s="3">
        <v>4216</v>
      </c>
    </row>
    <row r="44" spans="1:2" x14ac:dyDescent="0.25">
      <c r="A44" s="2" t="s">
        <v>17</v>
      </c>
      <c r="B44" s="3">
        <v>11857.5</v>
      </c>
    </row>
    <row r="45" spans="1:2" x14ac:dyDescent="0.25">
      <c r="A45" s="2" t="s">
        <v>13</v>
      </c>
      <c r="B45" s="3">
        <v>18181.5</v>
      </c>
    </row>
    <row r="46" spans="1:2" x14ac:dyDescent="0.25">
      <c r="A46" s="2" t="s">
        <v>28</v>
      </c>
      <c r="B46" s="3">
        <v>7905</v>
      </c>
    </row>
    <row r="47" spans="1:2" x14ac:dyDescent="0.25">
      <c r="A47" s="2" t="s">
        <v>24</v>
      </c>
      <c r="B47" s="3">
        <v>10329.200000000001</v>
      </c>
    </row>
    <row r="48" spans="1:2" x14ac:dyDescent="0.25">
      <c r="A48" s="2" t="s">
        <v>22</v>
      </c>
      <c r="B48" s="3">
        <v>10540</v>
      </c>
    </row>
    <row r="49" spans="1:2" x14ac:dyDescent="0.25">
      <c r="A49" s="2" t="s">
        <v>26</v>
      </c>
      <c r="B49" s="3">
        <v>8432</v>
      </c>
    </row>
    <row r="50" spans="1:2" x14ac:dyDescent="0.25">
      <c r="A50" s="2" t="s">
        <v>10</v>
      </c>
      <c r="B50" s="3">
        <v>23715</v>
      </c>
    </row>
    <row r="51" spans="1:2" x14ac:dyDescent="0.25">
      <c r="A51" s="2" t="s">
        <v>49</v>
      </c>
      <c r="B51" s="3">
        <v>527</v>
      </c>
    </row>
    <row r="52" spans="1:2" x14ac:dyDescent="0.25">
      <c r="A52" s="2" t="s">
        <v>15</v>
      </c>
      <c r="B52" s="3">
        <v>16864</v>
      </c>
    </row>
    <row r="53" spans="1:2" x14ac:dyDescent="0.25">
      <c r="A53" s="2" t="s">
        <v>43</v>
      </c>
      <c r="B53" s="3">
        <v>2108</v>
      </c>
    </row>
    <row r="54" spans="1:2" x14ac:dyDescent="0.25">
      <c r="A54" s="2" t="s">
        <v>19</v>
      </c>
      <c r="B54" s="3">
        <v>10540</v>
      </c>
    </row>
    <row r="55" spans="1:2" x14ac:dyDescent="0.25">
      <c r="A55" s="2" t="s">
        <v>47</v>
      </c>
      <c r="B55" s="3">
        <v>1317.5</v>
      </c>
    </row>
    <row r="56" spans="1:2" x14ac:dyDescent="0.25">
      <c r="A56" s="2" t="s">
        <v>35</v>
      </c>
      <c r="B56" s="3">
        <v>4216</v>
      </c>
    </row>
    <row r="57" spans="1:2" x14ac:dyDescent="0.25">
      <c r="A57" s="2" t="s">
        <v>41</v>
      </c>
      <c r="B57" s="3">
        <v>2635</v>
      </c>
    </row>
    <row r="58" spans="1:2" x14ac:dyDescent="0.25">
      <c r="A58" s="2" t="s">
        <v>39</v>
      </c>
      <c r="B58" s="3">
        <v>3952.5</v>
      </c>
    </row>
    <row r="59" spans="1:2" x14ac:dyDescent="0.25">
      <c r="A59" s="2" t="s">
        <v>31</v>
      </c>
      <c r="B59" s="3">
        <v>6587.5</v>
      </c>
    </row>
    <row r="60" spans="1:2" x14ac:dyDescent="0.25">
      <c r="A60" s="2" t="s">
        <v>51</v>
      </c>
      <c r="B60" s="3">
        <v>149984.20000000001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RFM 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2025-09-22T11:51:13Z</dcterms:created>
  <dcterms:modified xsi:type="dcterms:W3CDTF">2025-09-22T12:06:53Z</dcterms:modified>
</cp:coreProperties>
</file>